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Grace/Documents/Flow Data + Analysis/B-ALL manuscript/"/>
    </mc:Choice>
  </mc:AlternateContent>
  <xr:revisionPtr revIDLastSave="0" documentId="8_{B3CCD1A7-36F7-AA47-B675-13EA22B36582}" xr6:coauthVersionLast="47" xr6:coauthVersionMax="47" xr10:uidLastSave="{00000000-0000-0000-0000-000000000000}"/>
  <bookViews>
    <workbookView xWindow="20480" yWindow="9000" windowWidth="41940" windowHeight="26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8" i="1" l="1"/>
  <c r="F146" i="1"/>
  <c r="F138" i="1"/>
  <c r="F136" i="1"/>
  <c r="F133" i="1"/>
  <c r="F126" i="1"/>
  <c r="F118" i="1"/>
  <c r="F117" i="1"/>
  <c r="F108" i="1"/>
  <c r="F106" i="1"/>
  <c r="F113" i="1"/>
  <c r="F98" i="1"/>
  <c r="F96" i="1"/>
  <c r="F91" i="1"/>
  <c r="F83" i="1"/>
  <c r="F78" i="1"/>
  <c r="F76" i="1"/>
  <c r="F68" i="1"/>
  <c r="F66" i="1"/>
  <c r="F63" i="1"/>
  <c r="F56" i="1"/>
  <c r="F52" i="1"/>
  <c r="F48" i="1"/>
  <c r="F38" i="1"/>
  <c r="F36" i="1"/>
  <c r="F28" i="1"/>
  <c r="F26" i="1"/>
  <c r="F23" i="1"/>
  <c r="F24" i="1"/>
  <c r="F8" i="1"/>
  <c r="F6" i="1"/>
  <c r="F147" i="1"/>
  <c r="F151" i="1"/>
  <c r="F152" i="1"/>
  <c r="F153" i="1"/>
  <c r="F154" i="1"/>
  <c r="F155" i="1"/>
  <c r="F145" i="1"/>
  <c r="F140" i="1"/>
  <c r="F121" i="1"/>
  <c r="F122" i="1"/>
  <c r="F123" i="1"/>
  <c r="F124" i="1"/>
  <c r="F125" i="1"/>
  <c r="F127" i="1"/>
  <c r="F109" i="1"/>
  <c r="F110" i="1"/>
  <c r="F112" i="1"/>
  <c r="F94" i="1"/>
  <c r="F95" i="1"/>
  <c r="F97" i="1"/>
  <c r="F77" i="1"/>
  <c r="F79" i="1"/>
  <c r="F80" i="1"/>
  <c r="F81" i="1"/>
  <c r="F82" i="1"/>
  <c r="F84" i="1"/>
  <c r="F85" i="1"/>
  <c r="F75" i="1"/>
  <c r="F65" i="1"/>
  <c r="F47" i="1"/>
  <c r="F49" i="1"/>
  <c r="F50" i="1"/>
  <c r="F51" i="1"/>
  <c r="F53" i="1"/>
  <c r="F54" i="1"/>
  <c r="F55" i="1"/>
  <c r="F57" i="1"/>
  <c r="F34" i="1"/>
  <c r="F35" i="1"/>
  <c r="F37" i="1"/>
  <c r="F43" i="1"/>
  <c r="F33" i="1"/>
  <c r="F20" i="1"/>
  <c r="F22" i="1"/>
  <c r="F29" i="1"/>
  <c r="F19" i="1"/>
  <c r="F7" i="1"/>
  <c r="F11" i="1"/>
  <c r="F12" i="1"/>
  <c r="F13" i="1"/>
  <c r="F14" i="1"/>
  <c r="F5" i="1"/>
  <c r="F64" i="1" l="1"/>
  <c r="F139" i="1"/>
  <c r="F67" i="1"/>
  <c r="F132" i="1"/>
  <c r="F131" i="1"/>
  <c r="F21" i="1"/>
  <c r="F111" i="1"/>
  <c r="F141" i="1"/>
  <c r="F27" i="1"/>
  <c r="F42" i="1"/>
  <c r="F61" i="1"/>
  <c r="F62" i="1"/>
  <c r="F92" i="1"/>
  <c r="F107" i="1"/>
  <c r="F137" i="1"/>
  <c r="F93" i="1"/>
  <c r="F41" i="1"/>
  <c r="F71" i="1"/>
  <c r="F10" i="1"/>
  <c r="F25" i="1"/>
  <c r="F40" i="1"/>
  <c r="F70" i="1"/>
  <c r="F89" i="1"/>
  <c r="F90" i="1"/>
  <c r="F105" i="1"/>
  <c r="F120" i="1"/>
  <c r="F135" i="1"/>
  <c r="F150" i="1"/>
  <c r="F9" i="1"/>
  <c r="F99" i="1"/>
  <c r="F103" i="1"/>
  <c r="F119" i="1"/>
  <c r="F134" i="1"/>
  <c r="F149" i="1"/>
  <c r="F39" i="1"/>
  <c r="F69" i="1"/>
  <c r="F104" i="1"/>
</calcChain>
</file>

<file path=xl/sharedStrings.xml><?xml version="1.0" encoding="utf-8"?>
<sst xmlns="http://schemas.openxmlformats.org/spreadsheetml/2006/main" count="538" uniqueCount="27">
  <si>
    <t>sgRNA</t>
  </si>
  <si>
    <t>gRNA_id</t>
  </si>
  <si>
    <t>Timepoint</t>
  </si>
  <si>
    <t>Tissue</t>
  </si>
  <si>
    <t>Percent_population</t>
  </si>
  <si>
    <t>ABE_FOXA1</t>
  </si>
  <si>
    <t>gRNA_4578</t>
  </si>
  <si>
    <t>Initial</t>
  </si>
  <si>
    <t>Spleen</t>
  </si>
  <si>
    <t>Bone Marrow</t>
  </si>
  <si>
    <t>In Vitro</t>
  </si>
  <si>
    <t>Final</t>
  </si>
  <si>
    <t>ABE_IDH2</t>
  </si>
  <si>
    <t>gRNA_5194</t>
  </si>
  <si>
    <t>ABE_MTOR</t>
  </si>
  <si>
    <t>gRNA_7393</t>
  </si>
  <si>
    <t>ABE_NSD1</t>
  </si>
  <si>
    <t>gRNA_8228</t>
  </si>
  <si>
    <t>ABE_PIK3CA</t>
  </si>
  <si>
    <t>gRNA_8803</t>
  </si>
  <si>
    <t>ABE_NT</t>
  </si>
  <si>
    <t>ABE_BCRABL_1873</t>
  </si>
  <si>
    <t>ABE_BCRABL_1817</t>
  </si>
  <si>
    <t>ABE_Pol2rb_splice</t>
  </si>
  <si>
    <t>ABE_SMAD4</t>
  </si>
  <si>
    <t>ABE_PHF6</t>
  </si>
  <si>
    <t>Log2 fold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</si>
</sst>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5"/>
  <sheetViews>
    <sheetView tabSelected="1" workbookViewId="0">
      <selection activeCell="I6" sqref="I6"/>
    </sheetView>
  </sheetViews>
  <sheetFormatPr baseColWidth="10" defaultColWidth="8.83203125" defaultRowHeight="15" x14ac:dyDescent="0.2"/>
  <cols>
    <col min="1" max="1" width="23.33203125" customWidth="1"/>
    <col min="4" max="4" width="24.1640625" customWidth="1"/>
    <col min="5" max="5" width="29.1640625" customWidth="1"/>
    <col min="6" max="6" width="45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26</v>
      </c>
    </row>
    <row r="2" spans="1:6" x14ac:dyDescent="0.2">
      <c r="A2" t="s">
        <v>5</v>
      </c>
      <c r="B2" t="s">
        <v>6</v>
      </c>
      <c r="C2" t="s">
        <v>7</v>
      </c>
      <c r="D2" t="s">
        <v>8</v>
      </c>
      <c r="E2">
        <v>20.9</v>
      </c>
    </row>
    <row r="3" spans="1:6" x14ac:dyDescent="0.2">
      <c r="A3" t="s">
        <v>5</v>
      </c>
      <c r="B3" t="s">
        <v>6</v>
      </c>
      <c r="C3" t="s">
        <v>7</v>
      </c>
      <c r="D3" t="s">
        <v>9</v>
      </c>
      <c r="E3">
        <v>20.9</v>
      </c>
    </row>
    <row r="4" spans="1:6" x14ac:dyDescent="0.2">
      <c r="A4" t="s">
        <v>5</v>
      </c>
      <c r="B4" t="s">
        <v>6</v>
      </c>
      <c r="C4" t="s">
        <v>7</v>
      </c>
      <c r="D4" t="s">
        <v>10</v>
      </c>
      <c r="E4">
        <v>20.9</v>
      </c>
    </row>
    <row r="5" spans="1:6" x14ac:dyDescent="0.2">
      <c r="A5" t="s">
        <v>5</v>
      </c>
      <c r="B5" t="s">
        <v>6</v>
      </c>
      <c r="C5" t="s">
        <v>11</v>
      </c>
      <c r="D5" t="s">
        <v>8</v>
      </c>
      <c r="E5">
        <v>27.1</v>
      </c>
      <c r="F5">
        <f>LOG(E5/$E$2, 2)</f>
        <v>0.37478990927298905</v>
      </c>
    </row>
    <row r="6" spans="1:6" x14ac:dyDescent="0.2">
      <c r="A6" t="s">
        <v>5</v>
      </c>
      <c r="B6" t="s">
        <v>6</v>
      </c>
      <c r="C6" t="s">
        <v>11</v>
      </c>
      <c r="D6" t="s">
        <v>8</v>
      </c>
      <c r="E6">
        <v>24.9</v>
      </c>
      <c r="F6">
        <f t="shared" ref="F6:F14" si="0">LOG(E6/$E$2, 2)</f>
        <v>0.2526427999871983</v>
      </c>
    </row>
    <row r="7" spans="1:6" x14ac:dyDescent="0.2">
      <c r="A7" t="s">
        <v>5</v>
      </c>
      <c r="B7" t="s">
        <v>6</v>
      </c>
      <c r="C7" t="s">
        <v>11</v>
      </c>
      <c r="D7" t="s">
        <v>8</v>
      </c>
      <c r="E7">
        <v>24.6</v>
      </c>
      <c r="F7">
        <f t="shared" si="0"/>
        <v>0.23515537325835731</v>
      </c>
    </row>
    <row r="8" spans="1:6" x14ac:dyDescent="0.2">
      <c r="A8" t="s">
        <v>5</v>
      </c>
      <c r="B8" t="s">
        <v>6</v>
      </c>
      <c r="C8" t="s">
        <v>11</v>
      </c>
      <c r="D8" t="s">
        <v>8</v>
      </c>
      <c r="E8">
        <v>27.800000000000004</v>
      </c>
      <c r="F8">
        <f t="shared" si="0"/>
        <v>0.41158194064262504</v>
      </c>
    </row>
    <row r="9" spans="1:6" x14ac:dyDescent="0.2">
      <c r="A9" t="s">
        <v>5</v>
      </c>
      <c r="B9" t="s">
        <v>6</v>
      </c>
      <c r="C9" t="s">
        <v>11</v>
      </c>
      <c r="D9" t="s">
        <v>9</v>
      </c>
      <c r="E9">
        <v>26.8</v>
      </c>
      <c r="F9">
        <f t="shared" si="0"/>
        <v>0.3587300583768897</v>
      </c>
    </row>
    <row r="10" spans="1:6" x14ac:dyDescent="0.2">
      <c r="A10" t="s">
        <v>5</v>
      </c>
      <c r="B10" t="s">
        <v>6</v>
      </c>
      <c r="C10" t="s">
        <v>11</v>
      </c>
      <c r="D10" t="s">
        <v>9</v>
      </c>
      <c r="E10">
        <v>32.5</v>
      </c>
      <c r="F10">
        <f t="shared" si="0"/>
        <v>0.63693677583493413</v>
      </c>
    </row>
    <row r="11" spans="1:6" x14ac:dyDescent="0.2">
      <c r="A11" t="s">
        <v>5</v>
      </c>
      <c r="B11" t="s">
        <v>6</v>
      </c>
      <c r="C11" t="s">
        <v>11</v>
      </c>
      <c r="D11" t="s">
        <v>9</v>
      </c>
      <c r="E11">
        <v>20.100000000000001</v>
      </c>
      <c r="F11">
        <f t="shared" si="0"/>
        <v>-5.6307440901953935E-2</v>
      </c>
    </row>
    <row r="12" spans="1:6" x14ac:dyDescent="0.2">
      <c r="A12" t="s">
        <v>5</v>
      </c>
      <c r="B12" t="s">
        <v>6</v>
      </c>
      <c r="C12" t="s">
        <v>11</v>
      </c>
      <c r="D12" t="s">
        <v>9</v>
      </c>
      <c r="E12">
        <v>24.8</v>
      </c>
      <c r="F12">
        <f t="shared" si="0"/>
        <v>0.24683717830599272</v>
      </c>
    </row>
    <row r="13" spans="1:6" x14ac:dyDescent="0.2">
      <c r="A13" t="s">
        <v>5</v>
      </c>
      <c r="B13" t="s">
        <v>6</v>
      </c>
      <c r="C13" t="s">
        <v>11</v>
      </c>
      <c r="D13" t="s">
        <v>10</v>
      </c>
      <c r="E13">
        <v>23.400000000000002</v>
      </c>
      <c r="F13">
        <f t="shared" si="0"/>
        <v>0.16300558750252186</v>
      </c>
    </row>
    <row r="14" spans="1:6" x14ac:dyDescent="0.2">
      <c r="A14" t="s">
        <v>5</v>
      </c>
      <c r="B14" t="s">
        <v>6</v>
      </c>
      <c r="C14" t="s">
        <v>11</v>
      </c>
      <c r="D14" t="s">
        <v>10</v>
      </c>
      <c r="E14">
        <v>21.3</v>
      </c>
      <c r="F14">
        <f t="shared" si="0"/>
        <v>2.7350488144955637E-2</v>
      </c>
    </row>
    <row r="15" spans="1:6" x14ac:dyDescent="0.2">
      <c r="A15" t="s">
        <v>5</v>
      </c>
      <c r="B15" t="s">
        <v>6</v>
      </c>
      <c r="C15" t="s">
        <v>11</v>
      </c>
      <c r="D15" t="s">
        <v>10</v>
      </c>
    </row>
    <row r="16" spans="1:6" x14ac:dyDescent="0.2">
      <c r="A16" t="s">
        <v>12</v>
      </c>
      <c r="B16" t="s">
        <v>13</v>
      </c>
      <c r="C16" t="s">
        <v>7</v>
      </c>
      <c r="D16" t="s">
        <v>8</v>
      </c>
      <c r="E16">
        <v>15.5</v>
      </c>
    </row>
    <row r="17" spans="1:6" x14ac:dyDescent="0.2">
      <c r="A17" t="s">
        <v>12</v>
      </c>
      <c r="B17" t="s">
        <v>13</v>
      </c>
      <c r="C17" t="s">
        <v>7</v>
      </c>
      <c r="D17" t="s">
        <v>9</v>
      </c>
      <c r="E17">
        <v>15.5</v>
      </c>
    </row>
    <row r="18" spans="1:6" x14ac:dyDescent="0.2">
      <c r="A18" t="s">
        <v>12</v>
      </c>
      <c r="B18" t="s">
        <v>13</v>
      </c>
      <c r="C18" t="s">
        <v>7</v>
      </c>
      <c r="D18" t="s">
        <v>10</v>
      </c>
      <c r="E18">
        <v>15.5</v>
      </c>
    </row>
    <row r="19" spans="1:6" x14ac:dyDescent="0.2">
      <c r="A19" t="s">
        <v>12</v>
      </c>
      <c r="B19" t="s">
        <v>13</v>
      </c>
      <c r="C19" t="s">
        <v>11</v>
      </c>
      <c r="D19" t="s">
        <v>8</v>
      </c>
      <c r="E19">
        <v>78.100000000000009</v>
      </c>
      <c r="F19">
        <f>LOG(E19/$E$16, 2)</f>
        <v>2.333054332867742</v>
      </c>
    </row>
    <row r="20" spans="1:6" x14ac:dyDescent="0.2">
      <c r="A20" t="s">
        <v>12</v>
      </c>
      <c r="B20" t="s">
        <v>13</v>
      </c>
      <c r="C20" t="s">
        <v>11</v>
      </c>
      <c r="D20" t="s">
        <v>8</v>
      </c>
      <c r="E20">
        <v>75.7</v>
      </c>
      <c r="F20">
        <f t="shared" ref="F20:F29" si="1">LOG(E20/$E$16, 2)</f>
        <v>2.288025084711494</v>
      </c>
    </row>
    <row r="21" spans="1:6" x14ac:dyDescent="0.2">
      <c r="A21" t="s">
        <v>12</v>
      </c>
      <c r="B21" t="s">
        <v>13</v>
      </c>
      <c r="C21" t="s">
        <v>11</v>
      </c>
      <c r="D21" t="s">
        <v>8</v>
      </c>
      <c r="E21">
        <v>80.300000000000011</v>
      </c>
      <c r="F21">
        <f t="shared" si="1"/>
        <v>2.3731317722430774</v>
      </c>
    </row>
    <row r="22" spans="1:6" x14ac:dyDescent="0.2">
      <c r="A22" t="s">
        <v>12</v>
      </c>
      <c r="B22" t="s">
        <v>13</v>
      </c>
      <c r="C22" t="s">
        <v>11</v>
      </c>
      <c r="D22" t="s">
        <v>8</v>
      </c>
      <c r="E22">
        <v>80.300000000000011</v>
      </c>
      <c r="F22">
        <f t="shared" si="1"/>
        <v>2.3731317722430774</v>
      </c>
    </row>
    <row r="23" spans="1:6" x14ac:dyDescent="0.2">
      <c r="A23" t="s">
        <v>12</v>
      </c>
      <c r="B23" t="s">
        <v>13</v>
      </c>
      <c r="C23" t="s">
        <v>11</v>
      </c>
      <c r="D23" t="s">
        <v>9</v>
      </c>
      <c r="E23">
        <v>78.7</v>
      </c>
      <c r="F23">
        <f t="shared" si="1"/>
        <v>2.3440954202332489</v>
      </c>
    </row>
    <row r="24" spans="1:6" x14ac:dyDescent="0.2">
      <c r="A24" t="s">
        <v>12</v>
      </c>
      <c r="B24" t="s">
        <v>13</v>
      </c>
      <c r="C24" t="s">
        <v>11</v>
      </c>
      <c r="D24" t="s">
        <v>9</v>
      </c>
      <c r="E24">
        <v>70.899999999999991</v>
      </c>
      <c r="F24">
        <f t="shared" si="1"/>
        <v>2.1935174119652783</v>
      </c>
    </row>
    <row r="25" spans="1:6" x14ac:dyDescent="0.2">
      <c r="A25" t="s">
        <v>12</v>
      </c>
      <c r="B25" t="s">
        <v>13</v>
      </c>
      <c r="C25" t="s">
        <v>11</v>
      </c>
      <c r="D25" t="s">
        <v>9</v>
      </c>
      <c r="E25">
        <v>82.8</v>
      </c>
      <c r="F25">
        <f t="shared" si="1"/>
        <v>2.4173625522250877</v>
      </c>
    </row>
    <row r="26" spans="1:6" x14ac:dyDescent="0.2">
      <c r="A26" t="s">
        <v>12</v>
      </c>
      <c r="B26" t="s">
        <v>13</v>
      </c>
      <c r="C26" t="s">
        <v>11</v>
      </c>
      <c r="D26" t="s">
        <v>9</v>
      </c>
      <c r="E26">
        <v>86.6</v>
      </c>
      <c r="F26">
        <f t="shared" si="1"/>
        <v>2.4820988094524874</v>
      </c>
    </row>
    <row r="27" spans="1:6" x14ac:dyDescent="0.2">
      <c r="A27" t="s">
        <v>12</v>
      </c>
      <c r="B27" t="s">
        <v>13</v>
      </c>
      <c r="C27" t="s">
        <v>11</v>
      </c>
      <c r="D27" t="s">
        <v>10</v>
      </c>
      <c r="E27">
        <v>14.7</v>
      </c>
      <c r="F27">
        <f t="shared" si="1"/>
        <v>-7.6452060437873198E-2</v>
      </c>
    </row>
    <row r="28" spans="1:6" x14ac:dyDescent="0.2">
      <c r="A28" t="s">
        <v>12</v>
      </c>
      <c r="B28" t="s">
        <v>13</v>
      </c>
      <c r="C28" t="s">
        <v>11</v>
      </c>
      <c r="D28" t="s">
        <v>10</v>
      </c>
      <c r="E28">
        <v>11.700000000000001</v>
      </c>
      <c r="F28">
        <f t="shared" si="1"/>
        <v>-0.40575968569083298</v>
      </c>
    </row>
    <row r="29" spans="1:6" x14ac:dyDescent="0.2">
      <c r="A29" t="s">
        <v>12</v>
      </c>
      <c r="B29" t="s">
        <v>13</v>
      </c>
      <c r="C29" t="s">
        <v>11</v>
      </c>
      <c r="D29" t="s">
        <v>10</v>
      </c>
      <c r="E29">
        <v>12.7</v>
      </c>
      <c r="F29">
        <f t="shared" si="1"/>
        <v>-0.28743971850207173</v>
      </c>
    </row>
    <row r="30" spans="1:6" x14ac:dyDescent="0.2">
      <c r="A30" t="s">
        <v>14</v>
      </c>
      <c r="B30" t="s">
        <v>15</v>
      </c>
      <c r="C30" t="s">
        <v>7</v>
      </c>
      <c r="D30" t="s">
        <v>8</v>
      </c>
      <c r="E30">
        <v>26.900000000000002</v>
      </c>
    </row>
    <row r="31" spans="1:6" x14ac:dyDescent="0.2">
      <c r="A31" t="s">
        <v>14</v>
      </c>
      <c r="B31" t="s">
        <v>15</v>
      </c>
      <c r="C31" t="s">
        <v>7</v>
      </c>
      <c r="D31" t="s">
        <v>9</v>
      </c>
      <c r="E31">
        <v>26.900000000000002</v>
      </c>
    </row>
    <row r="32" spans="1:6" x14ac:dyDescent="0.2">
      <c r="A32" t="s">
        <v>14</v>
      </c>
      <c r="B32" t="s">
        <v>15</v>
      </c>
      <c r="C32" t="s">
        <v>7</v>
      </c>
      <c r="D32" t="s">
        <v>10</v>
      </c>
      <c r="E32">
        <v>26.900000000000002</v>
      </c>
    </row>
    <row r="33" spans="1:6" x14ac:dyDescent="0.2">
      <c r="A33" t="s">
        <v>14</v>
      </c>
      <c r="B33" t="s">
        <v>15</v>
      </c>
      <c r="C33" t="s">
        <v>11</v>
      </c>
      <c r="D33" t="s">
        <v>8</v>
      </c>
      <c r="E33">
        <v>30.3</v>
      </c>
      <c r="F33">
        <f>LOG(E33/$E$30, 2)</f>
        <v>0.17171162091632675</v>
      </c>
    </row>
    <row r="34" spans="1:6" x14ac:dyDescent="0.2">
      <c r="A34" t="s">
        <v>14</v>
      </c>
      <c r="B34" t="s">
        <v>15</v>
      </c>
      <c r="C34" t="s">
        <v>11</v>
      </c>
      <c r="D34" t="s">
        <v>8</v>
      </c>
      <c r="E34">
        <v>33</v>
      </c>
      <c r="F34">
        <f t="shared" ref="F34:F43" si="2">LOG(E34/$E$30, 2)</f>
        <v>0.2948598516891916</v>
      </c>
    </row>
    <row r="35" spans="1:6" x14ac:dyDescent="0.2">
      <c r="A35" t="s">
        <v>14</v>
      </c>
      <c r="B35" t="s">
        <v>15</v>
      </c>
      <c r="C35" t="s">
        <v>11</v>
      </c>
      <c r="D35" t="s">
        <v>8</v>
      </c>
      <c r="E35">
        <v>37</v>
      </c>
      <c r="F35">
        <f t="shared" si="2"/>
        <v>0.45991909795968799</v>
      </c>
    </row>
    <row r="36" spans="1:6" x14ac:dyDescent="0.2">
      <c r="A36" t="s">
        <v>14</v>
      </c>
      <c r="B36" t="s">
        <v>15</v>
      </c>
      <c r="C36" t="s">
        <v>11</v>
      </c>
      <c r="D36" t="s">
        <v>8</v>
      </c>
      <c r="E36">
        <v>32.700000000000003</v>
      </c>
      <c r="F36">
        <f t="shared" si="2"/>
        <v>0.28168446294145844</v>
      </c>
    </row>
    <row r="37" spans="1:6" x14ac:dyDescent="0.2">
      <c r="A37" t="s">
        <v>14</v>
      </c>
      <c r="B37" t="s">
        <v>15</v>
      </c>
      <c r="C37" t="s">
        <v>11</v>
      </c>
      <c r="D37" t="s">
        <v>9</v>
      </c>
      <c r="E37">
        <v>30.4</v>
      </c>
      <c r="F37">
        <f t="shared" si="2"/>
        <v>0.17646515088696119</v>
      </c>
    </row>
    <row r="38" spans="1:6" x14ac:dyDescent="0.2">
      <c r="A38" t="s">
        <v>14</v>
      </c>
      <c r="B38" t="s">
        <v>15</v>
      </c>
      <c r="C38" t="s">
        <v>11</v>
      </c>
      <c r="D38" t="s">
        <v>9</v>
      </c>
      <c r="E38">
        <v>34.599999999999994</v>
      </c>
      <c r="F38">
        <f t="shared" si="2"/>
        <v>0.36316586508010013</v>
      </c>
    </row>
    <row r="39" spans="1:6" x14ac:dyDescent="0.2">
      <c r="A39" t="s">
        <v>14</v>
      </c>
      <c r="B39" t="s">
        <v>15</v>
      </c>
      <c r="C39" t="s">
        <v>11</v>
      </c>
      <c r="D39" t="s">
        <v>9</v>
      </c>
      <c r="E39">
        <v>34.4</v>
      </c>
      <c r="F39">
        <f t="shared" si="2"/>
        <v>0.35480239214547366</v>
      </c>
    </row>
    <row r="40" spans="1:6" x14ac:dyDescent="0.2">
      <c r="A40" t="s">
        <v>14</v>
      </c>
      <c r="B40" t="s">
        <v>15</v>
      </c>
      <c r="C40" t="s">
        <v>11</v>
      </c>
      <c r="D40" t="s">
        <v>9</v>
      </c>
      <c r="E40">
        <v>37.1</v>
      </c>
      <c r="F40">
        <f t="shared" si="2"/>
        <v>0.46381301406417907</v>
      </c>
    </row>
    <row r="41" spans="1:6" x14ac:dyDescent="0.2">
      <c r="A41" t="s">
        <v>14</v>
      </c>
      <c r="B41" t="s">
        <v>15</v>
      </c>
      <c r="C41" t="s">
        <v>11</v>
      </c>
      <c r="D41" t="s">
        <v>10</v>
      </c>
      <c r="E41">
        <v>43.8</v>
      </c>
      <c r="F41">
        <f t="shared" si="2"/>
        <v>0.70332469704454903</v>
      </c>
    </row>
    <row r="42" spans="1:6" x14ac:dyDescent="0.2">
      <c r="A42" t="s">
        <v>14</v>
      </c>
      <c r="B42" t="s">
        <v>15</v>
      </c>
      <c r="C42" t="s">
        <v>11</v>
      </c>
      <c r="D42" t="s">
        <v>10</v>
      </c>
      <c r="E42">
        <v>51.4</v>
      </c>
      <c r="F42">
        <f t="shared" si="2"/>
        <v>0.93416218663725381</v>
      </c>
    </row>
    <row r="43" spans="1:6" x14ac:dyDescent="0.2">
      <c r="A43" t="s">
        <v>14</v>
      </c>
      <c r="B43" t="s">
        <v>15</v>
      </c>
      <c r="C43" t="s">
        <v>11</v>
      </c>
      <c r="D43" t="s">
        <v>10</v>
      </c>
      <c r="E43">
        <v>50</v>
      </c>
      <c r="F43">
        <f t="shared" si="2"/>
        <v>0.89432192210546269</v>
      </c>
    </row>
    <row r="44" spans="1:6" x14ac:dyDescent="0.2">
      <c r="A44" t="s">
        <v>16</v>
      </c>
      <c r="B44" t="s">
        <v>17</v>
      </c>
      <c r="C44" t="s">
        <v>7</v>
      </c>
      <c r="D44" t="s">
        <v>8</v>
      </c>
      <c r="E44">
        <v>24.6</v>
      </c>
    </row>
    <row r="45" spans="1:6" x14ac:dyDescent="0.2">
      <c r="A45" t="s">
        <v>16</v>
      </c>
      <c r="B45" t="s">
        <v>17</v>
      </c>
      <c r="C45" t="s">
        <v>7</v>
      </c>
      <c r="D45" t="s">
        <v>9</v>
      </c>
      <c r="E45">
        <v>24.6</v>
      </c>
    </row>
    <row r="46" spans="1:6" x14ac:dyDescent="0.2">
      <c r="A46" t="s">
        <v>16</v>
      </c>
      <c r="B46" t="s">
        <v>17</v>
      </c>
      <c r="C46" t="s">
        <v>7</v>
      </c>
      <c r="D46" t="s">
        <v>10</v>
      </c>
      <c r="E46">
        <v>24.6</v>
      </c>
    </row>
    <row r="47" spans="1:6" x14ac:dyDescent="0.2">
      <c r="A47" t="s">
        <v>16</v>
      </c>
      <c r="B47" t="s">
        <v>17</v>
      </c>
      <c r="C47" t="s">
        <v>11</v>
      </c>
      <c r="D47" t="s">
        <v>8</v>
      </c>
      <c r="E47">
        <v>24.7</v>
      </c>
      <c r="F47">
        <f>LOG(E47/$E$44, 2)</f>
        <v>5.852726245437573E-3</v>
      </c>
    </row>
    <row r="48" spans="1:6" x14ac:dyDescent="0.2">
      <c r="A48" t="s">
        <v>16</v>
      </c>
      <c r="B48" t="s">
        <v>17</v>
      </c>
      <c r="C48" t="s">
        <v>11</v>
      </c>
      <c r="D48" t="s">
        <v>8</v>
      </c>
      <c r="E48">
        <v>27.1</v>
      </c>
      <c r="F48">
        <f t="shared" ref="F48:F57" si="3">LOG(E48/$E$44, 2)</f>
        <v>0.13963453601463161</v>
      </c>
    </row>
    <row r="49" spans="1:6" x14ac:dyDescent="0.2">
      <c r="A49" t="s">
        <v>16</v>
      </c>
      <c r="B49" t="s">
        <v>17</v>
      </c>
      <c r="C49" t="s">
        <v>11</v>
      </c>
      <c r="D49" t="s">
        <v>8</v>
      </c>
      <c r="E49">
        <v>23.799999999999997</v>
      </c>
      <c r="F49">
        <f t="shared" si="3"/>
        <v>-4.7696742031296625E-2</v>
      </c>
    </row>
    <row r="50" spans="1:6" x14ac:dyDescent="0.2">
      <c r="A50" t="s">
        <v>16</v>
      </c>
      <c r="B50" t="s">
        <v>17</v>
      </c>
      <c r="C50" t="s">
        <v>11</v>
      </c>
      <c r="D50" t="s">
        <v>8</v>
      </c>
      <c r="E50">
        <v>26.6</v>
      </c>
      <c r="F50">
        <f t="shared" si="3"/>
        <v>0.11276793016194972</v>
      </c>
    </row>
    <row r="51" spans="1:6" x14ac:dyDescent="0.2">
      <c r="A51" t="s">
        <v>16</v>
      </c>
      <c r="B51" t="s">
        <v>17</v>
      </c>
      <c r="C51" t="s">
        <v>11</v>
      </c>
      <c r="D51" t="s">
        <v>9</v>
      </c>
      <c r="E51">
        <v>35.5</v>
      </c>
      <c r="F51">
        <f t="shared" si="3"/>
        <v>0.52916070905280455</v>
      </c>
    </row>
    <row r="52" spans="1:6" x14ac:dyDescent="0.2">
      <c r="A52" t="s">
        <v>16</v>
      </c>
      <c r="B52" t="s">
        <v>17</v>
      </c>
      <c r="C52" t="s">
        <v>11</v>
      </c>
      <c r="D52" t="s">
        <v>9</v>
      </c>
      <c r="E52">
        <v>17</v>
      </c>
      <c r="F52">
        <f t="shared" si="3"/>
        <v>-0.53312356920153814</v>
      </c>
    </row>
    <row r="53" spans="1:6" x14ac:dyDescent="0.2">
      <c r="A53" t="s">
        <v>16</v>
      </c>
      <c r="B53" t="s">
        <v>17</v>
      </c>
      <c r="C53" t="s">
        <v>11</v>
      </c>
      <c r="D53" t="s">
        <v>9</v>
      </c>
      <c r="E53">
        <v>23.1</v>
      </c>
      <c r="F53">
        <f t="shared" si="3"/>
        <v>-9.0765463923182257E-2</v>
      </c>
    </row>
    <row r="54" spans="1:6" x14ac:dyDescent="0.2">
      <c r="A54" t="s">
        <v>16</v>
      </c>
      <c r="B54" t="s">
        <v>17</v>
      </c>
      <c r="C54" t="s">
        <v>11</v>
      </c>
      <c r="D54" t="s">
        <v>9</v>
      </c>
      <c r="E54">
        <v>24.7</v>
      </c>
      <c r="F54">
        <f t="shared" si="3"/>
        <v>5.852726245437573E-3</v>
      </c>
    </row>
    <row r="55" spans="1:6" x14ac:dyDescent="0.2">
      <c r="A55" t="s">
        <v>16</v>
      </c>
      <c r="B55" t="s">
        <v>17</v>
      </c>
      <c r="C55" t="s">
        <v>11</v>
      </c>
      <c r="D55" t="s">
        <v>10</v>
      </c>
      <c r="E55">
        <v>20.100000000000001</v>
      </c>
      <c r="F55">
        <f t="shared" si="3"/>
        <v>-0.29146281416031117</v>
      </c>
    </row>
    <row r="56" spans="1:6" x14ac:dyDescent="0.2">
      <c r="A56" t="s">
        <v>16</v>
      </c>
      <c r="B56" t="s">
        <v>17</v>
      </c>
      <c r="C56" t="s">
        <v>11</v>
      </c>
      <c r="D56" t="s">
        <v>10</v>
      </c>
      <c r="E56">
        <v>23.799999999999997</v>
      </c>
      <c r="F56">
        <f t="shared" si="3"/>
        <v>-4.7696742031296625E-2</v>
      </c>
    </row>
    <row r="57" spans="1:6" x14ac:dyDescent="0.2">
      <c r="A57" t="s">
        <v>16</v>
      </c>
      <c r="B57" t="s">
        <v>17</v>
      </c>
      <c r="C57" t="s">
        <v>11</v>
      </c>
      <c r="D57" t="s">
        <v>10</v>
      </c>
      <c r="E57">
        <v>23.9</v>
      </c>
      <c r="F57">
        <f t="shared" si="3"/>
        <v>-4.164769735849147E-2</v>
      </c>
    </row>
    <row r="58" spans="1:6" x14ac:dyDescent="0.2">
      <c r="A58" t="s">
        <v>18</v>
      </c>
      <c r="B58" t="s">
        <v>19</v>
      </c>
      <c r="C58" t="s">
        <v>7</v>
      </c>
      <c r="D58" t="s">
        <v>8</v>
      </c>
      <c r="E58">
        <v>23.9</v>
      </c>
    </row>
    <row r="59" spans="1:6" x14ac:dyDescent="0.2">
      <c r="A59" t="s">
        <v>18</v>
      </c>
      <c r="B59" t="s">
        <v>19</v>
      </c>
      <c r="C59" t="s">
        <v>7</v>
      </c>
      <c r="D59" t="s">
        <v>9</v>
      </c>
      <c r="E59">
        <v>23.9</v>
      </c>
    </row>
    <row r="60" spans="1:6" x14ac:dyDescent="0.2">
      <c r="A60" t="s">
        <v>18</v>
      </c>
      <c r="B60" t="s">
        <v>19</v>
      </c>
      <c r="C60" t="s">
        <v>7</v>
      </c>
      <c r="D60" t="s">
        <v>10</v>
      </c>
      <c r="E60">
        <v>23.9</v>
      </c>
    </row>
    <row r="61" spans="1:6" x14ac:dyDescent="0.2">
      <c r="A61" t="s">
        <v>18</v>
      </c>
      <c r="B61" t="s">
        <v>19</v>
      </c>
      <c r="C61" t="s">
        <v>11</v>
      </c>
      <c r="D61" t="s">
        <v>8</v>
      </c>
      <c r="E61">
        <v>46.5</v>
      </c>
      <c r="F61">
        <f>LOG(E61/$E$58, 2)</f>
        <v>0.96022009801464536</v>
      </c>
    </row>
    <row r="62" spans="1:6" x14ac:dyDescent="0.2">
      <c r="A62" t="s">
        <v>18</v>
      </c>
      <c r="B62" t="s">
        <v>19</v>
      </c>
      <c r="C62" t="s">
        <v>11</v>
      </c>
      <c r="D62" t="s">
        <v>8</v>
      </c>
      <c r="E62">
        <v>50.4</v>
      </c>
      <c r="F62">
        <f t="shared" ref="F62:F71" si="4">LOG(E62/$E$58, 2)</f>
        <v>1.0764131155191681</v>
      </c>
    </row>
    <row r="63" spans="1:6" x14ac:dyDescent="0.2">
      <c r="A63" t="s">
        <v>18</v>
      </c>
      <c r="B63" t="s">
        <v>19</v>
      </c>
      <c r="C63" t="s">
        <v>11</v>
      </c>
      <c r="D63" t="s">
        <v>8</v>
      </c>
      <c r="E63">
        <v>50.3</v>
      </c>
      <c r="F63">
        <f t="shared" si="4"/>
        <v>1.0735477818247787</v>
      </c>
    </row>
    <row r="64" spans="1:6" x14ac:dyDescent="0.2">
      <c r="A64" t="s">
        <v>18</v>
      </c>
      <c r="B64" t="s">
        <v>19</v>
      </c>
      <c r="C64" t="s">
        <v>11</v>
      </c>
      <c r="D64" t="s">
        <v>8</v>
      </c>
      <c r="E64">
        <v>49.3</v>
      </c>
      <c r="F64">
        <f t="shared" si="4"/>
        <v>1.0445770283971632</v>
      </c>
    </row>
    <row r="65" spans="1:6" x14ac:dyDescent="0.2">
      <c r="A65" t="s">
        <v>18</v>
      </c>
      <c r="B65" t="s">
        <v>19</v>
      </c>
      <c r="C65" t="s">
        <v>11</v>
      </c>
      <c r="D65" t="s">
        <v>9</v>
      </c>
      <c r="E65">
        <v>45.800000000000004</v>
      </c>
      <c r="F65">
        <f t="shared" si="4"/>
        <v>0.9383369801161956</v>
      </c>
    </row>
    <row r="66" spans="1:6" x14ac:dyDescent="0.2">
      <c r="A66" t="s">
        <v>18</v>
      </c>
      <c r="B66" t="s">
        <v>19</v>
      </c>
      <c r="C66" t="s">
        <v>11</v>
      </c>
      <c r="D66" t="s">
        <v>9</v>
      </c>
      <c r="E66">
        <v>35.6</v>
      </c>
      <c r="F66">
        <f t="shared" si="4"/>
        <v>0.57486662298564928</v>
      </c>
    </row>
    <row r="67" spans="1:6" x14ac:dyDescent="0.2">
      <c r="A67" t="s">
        <v>18</v>
      </c>
      <c r="B67" t="s">
        <v>19</v>
      </c>
      <c r="C67" t="s">
        <v>11</v>
      </c>
      <c r="D67" t="s">
        <v>9</v>
      </c>
      <c r="E67">
        <v>55.000000000000007</v>
      </c>
      <c r="F67">
        <f t="shared" si="4"/>
        <v>1.2024210004312736</v>
      </c>
    </row>
    <row r="68" spans="1:6" x14ac:dyDescent="0.2">
      <c r="A68" t="s">
        <v>18</v>
      </c>
      <c r="B68" t="s">
        <v>19</v>
      </c>
      <c r="C68" t="s">
        <v>11</v>
      </c>
      <c r="D68" t="s">
        <v>9</v>
      </c>
      <c r="E68">
        <v>60.5</v>
      </c>
      <c r="F68">
        <f t="shared" si="4"/>
        <v>1.3399245241812083</v>
      </c>
    </row>
    <row r="69" spans="1:6" x14ac:dyDescent="0.2">
      <c r="A69" t="s">
        <v>18</v>
      </c>
      <c r="B69" t="s">
        <v>19</v>
      </c>
      <c r="C69" t="s">
        <v>11</v>
      </c>
      <c r="D69" t="s">
        <v>10</v>
      </c>
      <c r="E69">
        <v>35.9</v>
      </c>
      <c r="F69">
        <f t="shared" si="4"/>
        <v>0.58697322584230283</v>
      </c>
    </row>
    <row r="70" spans="1:6" x14ac:dyDescent="0.2">
      <c r="A70" t="s">
        <v>18</v>
      </c>
      <c r="B70" t="s">
        <v>19</v>
      </c>
      <c r="C70" t="s">
        <v>11</v>
      </c>
      <c r="D70" t="s">
        <v>10</v>
      </c>
      <c r="E70">
        <v>28.9</v>
      </c>
      <c r="F70">
        <f t="shared" si="4"/>
        <v>0.27405887451993022</v>
      </c>
    </row>
    <row r="71" spans="1:6" x14ac:dyDescent="0.2">
      <c r="A71" t="s">
        <v>18</v>
      </c>
      <c r="B71" t="s">
        <v>19</v>
      </c>
      <c r="C71" t="s">
        <v>11</v>
      </c>
      <c r="D71" t="s">
        <v>10</v>
      </c>
      <c r="E71">
        <v>30.599999999999998</v>
      </c>
      <c r="F71">
        <f t="shared" si="4"/>
        <v>0.35652103471190311</v>
      </c>
    </row>
    <row r="72" spans="1:6" x14ac:dyDescent="0.2">
      <c r="A72" t="s">
        <v>20</v>
      </c>
      <c r="C72" t="s">
        <v>7</v>
      </c>
      <c r="D72" t="s">
        <v>8</v>
      </c>
      <c r="E72">
        <v>20</v>
      </c>
    </row>
    <row r="73" spans="1:6" x14ac:dyDescent="0.2">
      <c r="A73" t="s">
        <v>20</v>
      </c>
      <c r="C73" t="s">
        <v>7</v>
      </c>
      <c r="D73" t="s">
        <v>9</v>
      </c>
      <c r="E73">
        <v>20</v>
      </c>
    </row>
    <row r="74" spans="1:6" x14ac:dyDescent="0.2">
      <c r="A74" t="s">
        <v>20</v>
      </c>
      <c r="C74" t="s">
        <v>7</v>
      </c>
      <c r="D74" t="s">
        <v>10</v>
      </c>
      <c r="E74">
        <v>20</v>
      </c>
    </row>
    <row r="75" spans="1:6" x14ac:dyDescent="0.2">
      <c r="A75" t="s">
        <v>20</v>
      </c>
      <c r="C75" t="s">
        <v>11</v>
      </c>
      <c r="D75" t="s">
        <v>8</v>
      </c>
      <c r="E75">
        <v>25.1</v>
      </c>
      <c r="F75">
        <f>LOG(E75/$E$72, 2)</f>
        <v>0.32768736417604744</v>
      </c>
    </row>
    <row r="76" spans="1:6" x14ac:dyDescent="0.2">
      <c r="A76" t="s">
        <v>20</v>
      </c>
      <c r="C76" t="s">
        <v>11</v>
      </c>
      <c r="D76" t="s">
        <v>8</v>
      </c>
      <c r="E76">
        <v>26.1</v>
      </c>
      <c r="F76">
        <f t="shared" ref="F76:F85" si="5">LOG(E76/$E$72, 2)</f>
        <v>0.38404980679515993</v>
      </c>
    </row>
    <row r="77" spans="1:6" x14ac:dyDescent="0.2">
      <c r="A77" t="s">
        <v>20</v>
      </c>
      <c r="C77" t="s">
        <v>11</v>
      </c>
      <c r="D77" t="s">
        <v>8</v>
      </c>
      <c r="E77">
        <v>27.200000000000003</v>
      </c>
      <c r="F77">
        <f t="shared" si="5"/>
        <v>0.44360665147561484</v>
      </c>
    </row>
    <row r="78" spans="1:6" x14ac:dyDescent="0.2">
      <c r="A78" t="s">
        <v>20</v>
      </c>
      <c r="C78" t="s">
        <v>11</v>
      </c>
      <c r="D78" t="s">
        <v>8</v>
      </c>
      <c r="E78">
        <v>26.5</v>
      </c>
      <c r="F78">
        <f t="shared" si="5"/>
        <v>0.4059923596758368</v>
      </c>
    </row>
    <row r="79" spans="1:6" x14ac:dyDescent="0.2">
      <c r="A79" t="s">
        <v>20</v>
      </c>
      <c r="C79" t="s">
        <v>11</v>
      </c>
      <c r="D79" t="s">
        <v>9</v>
      </c>
      <c r="E79">
        <v>24.3</v>
      </c>
      <c r="F79">
        <f t="shared" si="5"/>
        <v>0.28095631383105635</v>
      </c>
    </row>
    <row r="80" spans="1:6" x14ac:dyDescent="0.2">
      <c r="A80" t="s">
        <v>20</v>
      </c>
      <c r="C80" t="s">
        <v>11</v>
      </c>
      <c r="D80" t="s">
        <v>9</v>
      </c>
      <c r="E80">
        <v>23.200000000000003</v>
      </c>
      <c r="F80">
        <f t="shared" si="5"/>
        <v>0.21412480535284761</v>
      </c>
    </row>
    <row r="81" spans="1:6" x14ac:dyDescent="0.2">
      <c r="A81" t="s">
        <v>20</v>
      </c>
      <c r="C81" t="s">
        <v>11</v>
      </c>
      <c r="D81" t="s">
        <v>9</v>
      </c>
      <c r="E81">
        <v>30.5</v>
      </c>
      <c r="F81">
        <f t="shared" si="5"/>
        <v>0.60880924267552383</v>
      </c>
    </row>
    <row r="82" spans="1:6" x14ac:dyDescent="0.2">
      <c r="A82" t="s">
        <v>20</v>
      </c>
      <c r="C82" t="s">
        <v>11</v>
      </c>
      <c r="D82" t="s">
        <v>9</v>
      </c>
      <c r="E82">
        <v>27.200000000000003</v>
      </c>
      <c r="F82">
        <f t="shared" si="5"/>
        <v>0.44360665147561484</v>
      </c>
    </row>
    <row r="83" spans="1:6" x14ac:dyDescent="0.2">
      <c r="A83" t="s">
        <v>20</v>
      </c>
      <c r="C83" t="s">
        <v>11</v>
      </c>
      <c r="D83" t="s">
        <v>10</v>
      </c>
      <c r="E83">
        <v>29.799999999999997</v>
      </c>
      <c r="F83">
        <f t="shared" si="5"/>
        <v>0.5753123306874367</v>
      </c>
    </row>
    <row r="84" spans="1:6" x14ac:dyDescent="0.2">
      <c r="A84" t="s">
        <v>20</v>
      </c>
      <c r="C84" t="s">
        <v>11</v>
      </c>
      <c r="D84" t="s">
        <v>10</v>
      </c>
      <c r="E84">
        <v>20.8</v>
      </c>
      <c r="F84">
        <f t="shared" si="5"/>
        <v>5.6583528366367514E-2</v>
      </c>
    </row>
    <row r="85" spans="1:6" x14ac:dyDescent="0.2">
      <c r="A85" t="s">
        <v>20</v>
      </c>
      <c r="C85" t="s">
        <v>11</v>
      </c>
      <c r="D85" t="s">
        <v>10</v>
      </c>
      <c r="E85">
        <v>20.5</v>
      </c>
      <c r="F85">
        <f t="shared" si="5"/>
        <v>3.5623909730721222E-2</v>
      </c>
    </row>
    <row r="86" spans="1:6" x14ac:dyDescent="0.2">
      <c r="A86" t="s">
        <v>22</v>
      </c>
      <c r="C86" t="s">
        <v>7</v>
      </c>
      <c r="D86" t="s">
        <v>8</v>
      </c>
      <c r="E86">
        <v>25</v>
      </c>
    </row>
    <row r="87" spans="1:6" x14ac:dyDescent="0.2">
      <c r="A87" t="s">
        <v>22</v>
      </c>
      <c r="C87" t="s">
        <v>7</v>
      </c>
      <c r="D87" t="s">
        <v>9</v>
      </c>
      <c r="E87">
        <v>25</v>
      </c>
    </row>
    <row r="88" spans="1:6" x14ac:dyDescent="0.2">
      <c r="A88" t="s">
        <v>22</v>
      </c>
      <c r="C88" t="s">
        <v>7</v>
      </c>
      <c r="D88" t="s">
        <v>10</v>
      </c>
      <c r="E88">
        <v>25</v>
      </c>
    </row>
    <row r="89" spans="1:6" x14ac:dyDescent="0.2">
      <c r="A89" t="s">
        <v>22</v>
      </c>
      <c r="C89" t="s">
        <v>11</v>
      </c>
      <c r="D89" t="s">
        <v>8</v>
      </c>
      <c r="E89">
        <v>20.3</v>
      </c>
      <c r="F89">
        <f>LOG(E89/$E$86, 2)</f>
        <v>-0.30044836747691073</v>
      </c>
    </row>
    <row r="90" spans="1:6" x14ac:dyDescent="0.2">
      <c r="A90" t="s">
        <v>22</v>
      </c>
      <c r="C90" t="s">
        <v>11</v>
      </c>
      <c r="D90" t="s">
        <v>8</v>
      </c>
      <c r="E90">
        <v>19.5</v>
      </c>
      <c r="F90">
        <f t="shared" ref="F90:F99" si="6">LOG(E90/$E$86, 2)</f>
        <v>-0.35845397091247633</v>
      </c>
    </row>
    <row r="91" spans="1:6" x14ac:dyDescent="0.2">
      <c r="A91" t="s">
        <v>22</v>
      </c>
      <c r="C91" t="s">
        <v>11</v>
      </c>
      <c r="D91" t="s">
        <v>8</v>
      </c>
      <c r="E91">
        <v>15.7</v>
      </c>
      <c r="F91">
        <f t="shared" si="6"/>
        <v>-0.67116353577046006</v>
      </c>
    </row>
    <row r="92" spans="1:6" x14ac:dyDescent="0.2">
      <c r="A92" t="s">
        <v>22</v>
      </c>
      <c r="C92" t="s">
        <v>11</v>
      </c>
      <c r="D92" t="s">
        <v>8</v>
      </c>
      <c r="E92">
        <v>16.100000000000001</v>
      </c>
      <c r="F92">
        <f t="shared" si="6"/>
        <v>-0.63486740654746998</v>
      </c>
    </row>
    <row r="93" spans="1:6" x14ac:dyDescent="0.2">
      <c r="A93" t="s">
        <v>22</v>
      </c>
      <c r="C93" t="s">
        <v>11</v>
      </c>
      <c r="D93" t="s">
        <v>9</v>
      </c>
      <c r="E93">
        <v>26.700000000000003</v>
      </c>
      <c r="F93">
        <f t="shared" si="6"/>
        <v>9.4911647025466978E-2</v>
      </c>
    </row>
    <row r="94" spans="1:6" x14ac:dyDescent="0.2">
      <c r="A94" t="s">
        <v>22</v>
      </c>
      <c r="C94" t="s">
        <v>11</v>
      </c>
      <c r="D94" t="s">
        <v>9</v>
      </c>
      <c r="E94">
        <v>23.9</v>
      </c>
      <c r="F94">
        <f t="shared" si="6"/>
        <v>-6.4917476681338543E-2</v>
      </c>
    </row>
    <row r="95" spans="1:6" x14ac:dyDescent="0.2">
      <c r="A95" t="s">
        <v>22</v>
      </c>
      <c r="C95" t="s">
        <v>11</v>
      </c>
      <c r="D95" t="s">
        <v>9</v>
      </c>
      <c r="E95">
        <v>26.5</v>
      </c>
      <c r="F95">
        <f t="shared" si="6"/>
        <v>8.4064264788474549E-2</v>
      </c>
    </row>
    <row r="96" spans="1:6" x14ac:dyDescent="0.2">
      <c r="A96" t="s">
        <v>22</v>
      </c>
      <c r="C96" t="s">
        <v>11</v>
      </c>
      <c r="D96" t="s">
        <v>9</v>
      </c>
      <c r="E96">
        <v>28.7</v>
      </c>
      <c r="F96">
        <f t="shared" si="6"/>
        <v>0.19912264201360066</v>
      </c>
    </row>
    <row r="97" spans="1:6" x14ac:dyDescent="0.2">
      <c r="A97" t="s">
        <v>22</v>
      </c>
      <c r="C97" t="s">
        <v>11</v>
      </c>
      <c r="D97" t="s">
        <v>10</v>
      </c>
      <c r="E97">
        <v>24.9</v>
      </c>
      <c r="F97">
        <f t="shared" si="6"/>
        <v>-5.7823525940061109E-3</v>
      </c>
    </row>
    <row r="98" spans="1:6" x14ac:dyDescent="0.2">
      <c r="A98" t="s">
        <v>22</v>
      </c>
      <c r="C98" t="s">
        <v>11</v>
      </c>
      <c r="D98" t="s">
        <v>10</v>
      </c>
      <c r="E98">
        <v>24.7</v>
      </c>
      <c r="F98">
        <f t="shared" si="6"/>
        <v>-1.7417053077409407E-2</v>
      </c>
    </row>
    <row r="99" spans="1:6" x14ac:dyDescent="0.2">
      <c r="A99" t="s">
        <v>22</v>
      </c>
      <c r="C99" t="s">
        <v>11</v>
      </c>
      <c r="D99" t="s">
        <v>10</v>
      </c>
      <c r="E99">
        <v>25.900000000000002</v>
      </c>
      <c r="F99">
        <f t="shared" si="6"/>
        <v>5.1024003024466885E-2</v>
      </c>
    </row>
    <row r="100" spans="1:6" x14ac:dyDescent="0.2">
      <c r="A100" t="s">
        <v>21</v>
      </c>
      <c r="C100" t="s">
        <v>7</v>
      </c>
      <c r="D100" t="s">
        <v>8</v>
      </c>
      <c r="E100">
        <v>15.6</v>
      </c>
    </row>
    <row r="101" spans="1:6" x14ac:dyDescent="0.2">
      <c r="A101" t="s">
        <v>21</v>
      </c>
      <c r="C101" t="s">
        <v>7</v>
      </c>
      <c r="D101" t="s">
        <v>9</v>
      </c>
      <c r="E101">
        <v>15.6</v>
      </c>
    </row>
    <row r="102" spans="1:6" x14ac:dyDescent="0.2">
      <c r="A102" t="s">
        <v>21</v>
      </c>
      <c r="C102" t="s">
        <v>7</v>
      </c>
      <c r="D102" t="s">
        <v>10</v>
      </c>
      <c r="E102">
        <v>15.6</v>
      </c>
    </row>
    <row r="103" spans="1:6" x14ac:dyDescent="0.2">
      <c r="A103" t="s">
        <v>21</v>
      </c>
      <c r="C103" t="s">
        <v>11</v>
      </c>
      <c r="D103" t="s">
        <v>8</v>
      </c>
      <c r="E103">
        <v>25.900000000000002</v>
      </c>
      <c r="F103">
        <f>LOG(E103/$E$100, 2)</f>
        <v>0.73140606882430559</v>
      </c>
    </row>
    <row r="104" spans="1:6" x14ac:dyDescent="0.2">
      <c r="A104" t="s">
        <v>21</v>
      </c>
      <c r="C104" t="s">
        <v>11</v>
      </c>
      <c r="D104" t="s">
        <v>8</v>
      </c>
      <c r="E104">
        <v>26.200000000000003</v>
      </c>
      <c r="F104">
        <f t="shared" ref="F104:F113" si="7">LOG(E104/$E$100, 2)</f>
        <v>0.74802078267520211</v>
      </c>
    </row>
    <row r="105" spans="1:6" x14ac:dyDescent="0.2">
      <c r="A105" t="s">
        <v>21</v>
      </c>
      <c r="C105" t="s">
        <v>11</v>
      </c>
      <c r="D105" t="s">
        <v>8</v>
      </c>
      <c r="E105">
        <v>24.9</v>
      </c>
      <c r="F105">
        <f t="shared" si="7"/>
        <v>0.67459971320583256</v>
      </c>
    </row>
    <row r="106" spans="1:6" x14ac:dyDescent="0.2">
      <c r="A106" t="s">
        <v>21</v>
      </c>
      <c r="C106" t="s">
        <v>11</v>
      </c>
      <c r="D106" t="s">
        <v>8</v>
      </c>
      <c r="E106">
        <v>24.099999999999998</v>
      </c>
      <c r="F106">
        <f t="shared" si="7"/>
        <v>0.62748711736771312</v>
      </c>
    </row>
    <row r="107" spans="1:6" x14ac:dyDescent="0.2">
      <c r="A107" t="s">
        <v>21</v>
      </c>
      <c r="C107" t="s">
        <v>11</v>
      </c>
      <c r="D107" t="s">
        <v>9</v>
      </c>
      <c r="E107">
        <v>14.799999999999999</v>
      </c>
      <c r="F107">
        <f t="shared" si="7"/>
        <v>-7.5948853233298627E-2</v>
      </c>
    </row>
    <row r="108" spans="1:6" x14ac:dyDescent="0.2">
      <c r="A108" t="s">
        <v>21</v>
      </c>
      <c r="C108" t="s">
        <v>11</v>
      </c>
      <c r="D108" t="s">
        <v>9</v>
      </c>
      <c r="E108">
        <v>14.7</v>
      </c>
      <c r="F108">
        <f t="shared" si="7"/>
        <v>-8.5729874025883973E-2</v>
      </c>
    </row>
    <row r="109" spans="1:6" x14ac:dyDescent="0.2">
      <c r="A109" t="s">
        <v>21</v>
      </c>
      <c r="C109" t="s">
        <v>11</v>
      </c>
      <c r="D109" t="s">
        <v>9</v>
      </c>
      <c r="E109">
        <v>15.5</v>
      </c>
      <c r="F109">
        <f t="shared" si="7"/>
        <v>-9.2778135880107523E-3</v>
      </c>
    </row>
    <row r="110" spans="1:6" x14ac:dyDescent="0.2">
      <c r="A110" t="s">
        <v>21</v>
      </c>
      <c r="C110" t="s">
        <v>11</v>
      </c>
      <c r="D110" t="s">
        <v>9</v>
      </c>
      <c r="E110">
        <v>10.4</v>
      </c>
      <c r="F110">
        <f t="shared" si="7"/>
        <v>-0.58496250072115608</v>
      </c>
    </row>
    <row r="111" spans="1:6" x14ac:dyDescent="0.2">
      <c r="A111" t="s">
        <v>21</v>
      </c>
      <c r="C111" t="s">
        <v>11</v>
      </c>
      <c r="D111" t="s">
        <v>10</v>
      </c>
      <c r="E111">
        <v>14.2</v>
      </c>
      <c r="F111">
        <f t="shared" si="7"/>
        <v>-0.13565509935756631</v>
      </c>
    </row>
    <row r="112" spans="1:6" x14ac:dyDescent="0.2">
      <c r="A112" t="s">
        <v>21</v>
      </c>
      <c r="C112" t="s">
        <v>11</v>
      </c>
      <c r="D112" t="s">
        <v>10</v>
      </c>
      <c r="E112">
        <v>14.399999999999999</v>
      </c>
      <c r="F112">
        <f t="shared" si="7"/>
        <v>-0.11547721741993608</v>
      </c>
    </row>
    <row r="113" spans="1:6" x14ac:dyDescent="0.2">
      <c r="A113" t="s">
        <v>21</v>
      </c>
      <c r="C113" t="s">
        <v>11</v>
      </c>
      <c r="D113" t="s">
        <v>10</v>
      </c>
      <c r="E113">
        <v>15.5</v>
      </c>
      <c r="F113">
        <f t="shared" si="7"/>
        <v>-9.2778135880107523E-3</v>
      </c>
    </row>
    <row r="114" spans="1:6" x14ac:dyDescent="0.2">
      <c r="A114" t="s">
        <v>23</v>
      </c>
      <c r="C114" t="s">
        <v>7</v>
      </c>
      <c r="D114" t="s">
        <v>8</v>
      </c>
      <c r="E114">
        <v>43</v>
      </c>
    </row>
    <row r="115" spans="1:6" x14ac:dyDescent="0.2">
      <c r="A115" t="s">
        <v>23</v>
      </c>
      <c r="C115" t="s">
        <v>7</v>
      </c>
      <c r="D115" t="s">
        <v>9</v>
      </c>
      <c r="E115">
        <v>43</v>
      </c>
    </row>
    <row r="116" spans="1:6" x14ac:dyDescent="0.2">
      <c r="A116" t="s">
        <v>23</v>
      </c>
      <c r="C116" t="s">
        <v>7</v>
      </c>
      <c r="D116" t="s">
        <v>10</v>
      </c>
      <c r="E116">
        <v>43</v>
      </c>
    </row>
    <row r="117" spans="1:6" x14ac:dyDescent="0.2">
      <c r="A117" t="s">
        <v>23</v>
      </c>
      <c r="C117" t="s">
        <v>11</v>
      </c>
      <c r="D117" t="s">
        <v>8</v>
      </c>
      <c r="E117">
        <v>46.800000000000004</v>
      </c>
      <c r="F117">
        <f>LOG(E117/$E$114, 2)</f>
        <v>0.12217186999394432</v>
      </c>
    </row>
    <row r="118" spans="1:6" x14ac:dyDescent="0.2">
      <c r="A118" t="s">
        <v>23</v>
      </c>
      <c r="C118" t="s">
        <v>11</v>
      </c>
      <c r="D118" t="s">
        <v>8</v>
      </c>
      <c r="E118">
        <v>46.400000000000006</v>
      </c>
      <c r="F118">
        <f t="shared" ref="F118:F127" si="8">LOG(E118/$E$114, 2)</f>
        <v>0.10978814553811198</v>
      </c>
    </row>
    <row r="119" spans="1:6" x14ac:dyDescent="0.2">
      <c r="A119" t="s">
        <v>23</v>
      </c>
      <c r="C119" t="s">
        <v>11</v>
      </c>
      <c r="D119" t="s">
        <v>8</v>
      </c>
      <c r="E119">
        <v>46.800000000000004</v>
      </c>
      <c r="F119">
        <f t="shared" si="8"/>
        <v>0.12217186999394432</v>
      </c>
    </row>
    <row r="120" spans="1:6" x14ac:dyDescent="0.2">
      <c r="A120" t="s">
        <v>23</v>
      </c>
      <c r="C120" t="s">
        <v>11</v>
      </c>
      <c r="D120" t="s">
        <v>8</v>
      </c>
      <c r="E120">
        <v>43.9</v>
      </c>
      <c r="F120">
        <f t="shared" si="8"/>
        <v>2.9884279945897887E-2</v>
      </c>
    </row>
    <row r="121" spans="1:6" x14ac:dyDescent="0.2">
      <c r="A121" t="s">
        <v>23</v>
      </c>
      <c r="C121" t="s">
        <v>11</v>
      </c>
      <c r="D121" t="s">
        <v>9</v>
      </c>
      <c r="E121">
        <v>39.1</v>
      </c>
      <c r="F121">
        <f t="shared" si="8"/>
        <v>-0.13716805228210802</v>
      </c>
    </row>
    <row r="122" spans="1:6" x14ac:dyDescent="0.2">
      <c r="A122" t="s">
        <v>23</v>
      </c>
      <c r="C122" t="s">
        <v>11</v>
      </c>
      <c r="D122" t="s">
        <v>9</v>
      </c>
      <c r="E122">
        <v>35.5</v>
      </c>
      <c r="F122">
        <f t="shared" si="8"/>
        <v>-0.27651763519741585</v>
      </c>
    </row>
    <row r="123" spans="1:6" x14ac:dyDescent="0.2">
      <c r="A123" t="s">
        <v>23</v>
      </c>
      <c r="C123" t="s">
        <v>11</v>
      </c>
      <c r="D123" t="s">
        <v>9</v>
      </c>
      <c r="E123">
        <v>48.4</v>
      </c>
      <c r="F123">
        <f t="shared" si="8"/>
        <v>0.17067038768513418</v>
      </c>
    </row>
    <row r="124" spans="1:6" x14ac:dyDescent="0.2">
      <c r="A124" t="s">
        <v>23</v>
      </c>
      <c r="C124" t="s">
        <v>11</v>
      </c>
      <c r="D124" t="s">
        <v>9</v>
      </c>
      <c r="E124">
        <v>37.799999999999997</v>
      </c>
      <c r="F124">
        <f t="shared" si="8"/>
        <v>-0.18595042536838777</v>
      </c>
    </row>
    <row r="125" spans="1:6" x14ac:dyDescent="0.2">
      <c r="A125" t="s">
        <v>23</v>
      </c>
      <c r="C125" t="s">
        <v>11</v>
      </c>
      <c r="D125" t="s">
        <v>10</v>
      </c>
      <c r="E125">
        <v>39</v>
      </c>
      <c r="F125">
        <f t="shared" si="8"/>
        <v>-0.1408625358398497</v>
      </c>
    </row>
    <row r="126" spans="1:6" x14ac:dyDescent="0.2">
      <c r="A126" t="s">
        <v>23</v>
      </c>
      <c r="C126" t="s">
        <v>11</v>
      </c>
      <c r="D126" t="s">
        <v>10</v>
      </c>
      <c r="E126">
        <v>35.5</v>
      </c>
      <c r="F126">
        <f t="shared" si="8"/>
        <v>-0.27651763519741585</v>
      </c>
    </row>
    <row r="127" spans="1:6" x14ac:dyDescent="0.2">
      <c r="A127" t="s">
        <v>23</v>
      </c>
      <c r="C127" t="s">
        <v>11</v>
      </c>
      <c r="D127" t="s">
        <v>10</v>
      </c>
      <c r="E127">
        <v>37.299999999999997</v>
      </c>
      <c r="F127">
        <f t="shared" si="8"/>
        <v>-0.2051610293342227</v>
      </c>
    </row>
    <row r="128" spans="1:6" x14ac:dyDescent="0.2">
      <c r="A128" t="s">
        <v>24</v>
      </c>
      <c r="C128" t="s">
        <v>7</v>
      </c>
      <c r="D128" t="s">
        <v>8</v>
      </c>
      <c r="E128">
        <v>47.3</v>
      </c>
    </row>
    <row r="129" spans="1:6" x14ac:dyDescent="0.2">
      <c r="A129" t="s">
        <v>24</v>
      </c>
      <c r="C129" t="s">
        <v>7</v>
      </c>
      <c r="D129" t="s">
        <v>9</v>
      </c>
      <c r="E129">
        <v>47.3</v>
      </c>
    </row>
    <row r="130" spans="1:6" x14ac:dyDescent="0.2">
      <c r="A130" t="s">
        <v>24</v>
      </c>
      <c r="C130" t="s">
        <v>7</v>
      </c>
      <c r="D130" t="s">
        <v>10</v>
      </c>
      <c r="E130">
        <v>47.3</v>
      </c>
    </row>
    <row r="131" spans="1:6" x14ac:dyDescent="0.2">
      <c r="A131" t="s">
        <v>24</v>
      </c>
      <c r="C131" t="s">
        <v>11</v>
      </c>
      <c r="D131" t="s">
        <v>8</v>
      </c>
      <c r="E131">
        <v>39</v>
      </c>
      <c r="F131">
        <f>LOG(E131/$E$128, 2)</f>
        <v>-0.2783660595897845</v>
      </c>
    </row>
    <row r="132" spans="1:6" x14ac:dyDescent="0.2">
      <c r="A132" t="s">
        <v>24</v>
      </c>
      <c r="C132" t="s">
        <v>11</v>
      </c>
      <c r="D132" t="s">
        <v>8</v>
      </c>
      <c r="E132">
        <v>44.2</v>
      </c>
      <c r="F132">
        <f t="shared" ref="F132:F141" si="9">LOG(E132/$E$128, 2)</f>
        <v>-9.7793813947963396E-2</v>
      </c>
    </row>
    <row r="133" spans="1:6" x14ac:dyDescent="0.2">
      <c r="A133" t="s">
        <v>24</v>
      </c>
      <c r="C133" t="s">
        <v>11</v>
      </c>
      <c r="D133" t="s">
        <v>8</v>
      </c>
      <c r="E133">
        <v>40.5</v>
      </c>
      <c r="F133">
        <f t="shared" si="9"/>
        <v>-0.22391827556740806</v>
      </c>
    </row>
    <row r="134" spans="1:6" x14ac:dyDescent="0.2">
      <c r="A134" t="s">
        <v>24</v>
      </c>
      <c r="C134" t="s">
        <v>11</v>
      </c>
      <c r="D134" t="s">
        <v>8</v>
      </c>
      <c r="E134">
        <v>44.4</v>
      </c>
      <c r="F134">
        <f t="shared" si="9"/>
        <v>-9.1280506989289273E-2</v>
      </c>
    </row>
    <row r="135" spans="1:6" x14ac:dyDescent="0.2">
      <c r="A135" t="s">
        <v>24</v>
      </c>
      <c r="C135" t="s">
        <v>11</v>
      </c>
      <c r="D135" t="s">
        <v>9</v>
      </c>
      <c r="E135">
        <v>49.2</v>
      </c>
      <c r="F135">
        <f t="shared" si="9"/>
        <v>5.6818131999844999E-2</v>
      </c>
    </row>
    <row r="136" spans="1:6" x14ac:dyDescent="0.2">
      <c r="A136" t="s">
        <v>24</v>
      </c>
      <c r="C136" t="s">
        <v>11</v>
      </c>
      <c r="D136" t="s">
        <v>9</v>
      </c>
      <c r="E136">
        <v>45</v>
      </c>
      <c r="F136">
        <f t="shared" si="9"/>
        <v>-7.1915182122358132E-2</v>
      </c>
    </row>
    <row r="137" spans="1:6" x14ac:dyDescent="0.2">
      <c r="A137" t="s">
        <v>24</v>
      </c>
      <c r="C137" t="s">
        <v>11</v>
      </c>
      <c r="D137" t="s">
        <v>9</v>
      </c>
      <c r="E137">
        <v>38.700000000000003</v>
      </c>
      <c r="F137">
        <f t="shared" si="9"/>
        <v>-0.28950661719498461</v>
      </c>
    </row>
    <row r="138" spans="1:6" x14ac:dyDescent="0.2">
      <c r="A138" t="s">
        <v>24</v>
      </c>
      <c r="C138" t="s">
        <v>11</v>
      </c>
      <c r="D138" t="s">
        <v>9</v>
      </c>
      <c r="E138">
        <v>47.4</v>
      </c>
      <c r="F138">
        <f t="shared" si="9"/>
        <v>3.0468755588639452E-3</v>
      </c>
    </row>
    <row r="139" spans="1:6" x14ac:dyDescent="0.2">
      <c r="A139" t="s">
        <v>24</v>
      </c>
      <c r="C139" t="s">
        <v>11</v>
      </c>
      <c r="D139" t="s">
        <v>10</v>
      </c>
      <c r="E139">
        <v>36.299999999999997</v>
      </c>
      <c r="F139">
        <f t="shared" si="9"/>
        <v>-0.38187063534364446</v>
      </c>
    </row>
    <row r="140" spans="1:6" x14ac:dyDescent="0.2">
      <c r="A140" t="s">
        <v>24</v>
      </c>
      <c r="C140" t="s">
        <v>11</v>
      </c>
      <c r="D140" t="s">
        <v>10</v>
      </c>
      <c r="E140">
        <v>43.2</v>
      </c>
      <c r="F140">
        <f t="shared" si="9"/>
        <v>-0.13080887117592646</v>
      </c>
    </row>
    <row r="141" spans="1:6" x14ac:dyDescent="0.2">
      <c r="A141" t="s">
        <v>24</v>
      </c>
      <c r="C141" t="s">
        <v>11</v>
      </c>
      <c r="D141" t="s">
        <v>10</v>
      </c>
      <c r="E141">
        <v>44.5</v>
      </c>
      <c r="F141">
        <f t="shared" si="9"/>
        <v>-8.8034847485634921E-2</v>
      </c>
    </row>
    <row r="142" spans="1:6" x14ac:dyDescent="0.2">
      <c r="A142" t="s">
        <v>25</v>
      </c>
      <c r="C142" t="s">
        <v>7</v>
      </c>
      <c r="D142" t="s">
        <v>8</v>
      </c>
      <c r="E142">
        <v>46.7</v>
      </c>
    </row>
    <row r="143" spans="1:6" x14ac:dyDescent="0.2">
      <c r="A143" t="s">
        <v>25</v>
      </c>
      <c r="C143" t="s">
        <v>7</v>
      </c>
      <c r="D143" t="s">
        <v>9</v>
      </c>
      <c r="E143">
        <v>46.7</v>
      </c>
    </row>
    <row r="144" spans="1:6" x14ac:dyDescent="0.2">
      <c r="A144" t="s">
        <v>25</v>
      </c>
      <c r="C144" t="s">
        <v>7</v>
      </c>
      <c r="D144" t="s">
        <v>10</v>
      </c>
      <c r="E144">
        <v>46.7</v>
      </c>
    </row>
    <row r="145" spans="1:6" x14ac:dyDescent="0.2">
      <c r="A145" t="s">
        <v>25</v>
      </c>
      <c r="C145" t="s">
        <v>11</v>
      </c>
      <c r="D145" t="s">
        <v>8</v>
      </c>
      <c r="E145">
        <v>64.5</v>
      </c>
      <c r="F145">
        <f>LOG(E145/$E$142, 2)</f>
        <v>0.46587661060095459</v>
      </c>
    </row>
    <row r="146" spans="1:6" x14ac:dyDescent="0.2">
      <c r="A146" t="s">
        <v>25</v>
      </c>
      <c r="C146" t="s">
        <v>11</v>
      </c>
      <c r="D146" t="s">
        <v>8</v>
      </c>
      <c r="E146">
        <v>62.2</v>
      </c>
      <c r="F146">
        <f t="shared" ref="F146:F155" si="10">LOG(E146/$E$142, 2)</f>
        <v>0.41349203042094068</v>
      </c>
    </row>
    <row r="147" spans="1:6" x14ac:dyDescent="0.2">
      <c r="A147" t="s">
        <v>25</v>
      </c>
      <c r="C147" t="s">
        <v>11</v>
      </c>
      <c r="D147" t="s">
        <v>8</v>
      </c>
      <c r="E147">
        <v>62.7</v>
      </c>
      <c r="F147">
        <f t="shared" si="10"/>
        <v>0.42504289309237697</v>
      </c>
    </row>
    <row r="148" spans="1:6" x14ac:dyDescent="0.2">
      <c r="A148" t="s">
        <v>25</v>
      </c>
      <c r="C148" t="s">
        <v>11</v>
      </c>
      <c r="D148" t="s">
        <v>8</v>
      </c>
      <c r="E148">
        <v>64.5</v>
      </c>
      <c r="F148">
        <f t="shared" si="10"/>
        <v>0.46587661060095459</v>
      </c>
    </row>
    <row r="149" spans="1:6" x14ac:dyDescent="0.2">
      <c r="A149" t="s">
        <v>25</v>
      </c>
      <c r="C149" t="s">
        <v>11</v>
      </c>
      <c r="D149" t="s">
        <v>9</v>
      </c>
      <c r="E149">
        <v>72.399999999999991</v>
      </c>
      <c r="F149">
        <f t="shared" si="10"/>
        <v>0.63256714737354325</v>
      </c>
    </row>
    <row r="150" spans="1:6" x14ac:dyDescent="0.2">
      <c r="A150" t="s">
        <v>25</v>
      </c>
      <c r="C150" t="s">
        <v>11</v>
      </c>
      <c r="D150" t="s">
        <v>9</v>
      </c>
      <c r="E150">
        <v>56.699999999999996</v>
      </c>
      <c r="F150">
        <f t="shared" si="10"/>
        <v>0.27992618523256674</v>
      </c>
    </row>
    <row r="151" spans="1:6" x14ac:dyDescent="0.2">
      <c r="A151" t="s">
        <v>25</v>
      </c>
      <c r="C151" t="s">
        <v>11</v>
      </c>
      <c r="D151" t="s">
        <v>9</v>
      </c>
      <c r="E151">
        <v>60.6</v>
      </c>
      <c r="F151">
        <f t="shared" si="10"/>
        <v>0.37589524376328903</v>
      </c>
    </row>
    <row r="152" spans="1:6" x14ac:dyDescent="0.2">
      <c r="A152" t="s">
        <v>25</v>
      </c>
      <c r="C152" t="s">
        <v>11</v>
      </c>
      <c r="D152" t="s">
        <v>9</v>
      </c>
      <c r="E152">
        <v>61.199999999999996</v>
      </c>
      <c r="F152">
        <f t="shared" si="10"/>
        <v>0.39010910298298979</v>
      </c>
    </row>
    <row r="153" spans="1:6" x14ac:dyDescent="0.2">
      <c r="A153" t="s">
        <v>25</v>
      </c>
      <c r="C153" t="s">
        <v>11</v>
      </c>
      <c r="D153" t="s">
        <v>10</v>
      </c>
      <c r="E153">
        <v>43.8</v>
      </c>
      <c r="F153">
        <f t="shared" si="10"/>
        <v>-9.2491680108488711E-2</v>
      </c>
    </row>
    <row r="154" spans="1:6" x14ac:dyDescent="0.2">
      <c r="A154" t="s">
        <v>25</v>
      </c>
      <c r="C154" t="s">
        <v>11</v>
      </c>
      <c r="D154" t="s">
        <v>10</v>
      </c>
      <c r="E154">
        <v>50.3</v>
      </c>
      <c r="F154">
        <f t="shared" si="10"/>
        <v>0.10713585009586507</v>
      </c>
    </row>
    <row r="155" spans="1:6" x14ac:dyDescent="0.2">
      <c r="A155" t="s">
        <v>25</v>
      </c>
      <c r="C155" t="s">
        <v>11</v>
      </c>
      <c r="D155" t="s">
        <v>10</v>
      </c>
      <c r="E155">
        <v>50</v>
      </c>
      <c r="F155">
        <f t="shared" si="10"/>
        <v>9.8505544952424959E-2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Grace Johnson</cp:lastModifiedBy>
  <dcterms:created xsi:type="dcterms:W3CDTF">2026-06-02T17:08:50Z</dcterms:created>
  <dcterms:modified xsi:type="dcterms:W3CDTF">2026-06-18T19:38:53Z</dcterms:modified>
</cp:coreProperties>
</file>